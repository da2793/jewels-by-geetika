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hujadiv\Desktop\Team\Automations\JBG\jewels-by-geetika\business\"/>
    </mc:Choice>
  </mc:AlternateContent>
  <xr:revisionPtr revIDLastSave="0" documentId="13_ncr:1_{3E68EA08-9BEC-49AF-B0C4-DB7361983089}" xr6:coauthVersionLast="47" xr6:coauthVersionMax="47" xr10:uidLastSave="{00000000-0000-0000-0000-000000000000}"/>
  <bookViews>
    <workbookView xWindow="28680" yWindow="-120" windowWidth="29040" windowHeight="15720" xr2:uid="{68BF2D20-07EA-4E2C-B5AF-3720521CC247}"/>
  </bookViews>
  <sheets>
    <sheet name="inventory-ledg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H8" i="1"/>
  <c r="M7" i="1"/>
  <c r="H7" i="1"/>
  <c r="J7" i="1" s="1"/>
  <c r="J4" i="1"/>
  <c r="M6" i="1"/>
  <c r="H6" i="1"/>
  <c r="J6" i="1" s="1"/>
  <c r="M5" i="1"/>
  <c r="M4" i="1"/>
  <c r="M3" i="1"/>
  <c r="M2" i="1"/>
  <c r="J5" i="1"/>
  <c r="J3" i="1"/>
  <c r="J2" i="1"/>
  <c r="H5" i="1"/>
  <c r="H4" i="1"/>
  <c r="H3" i="1"/>
  <c r="H2" i="1"/>
</calcChain>
</file>

<file path=xl/sharedStrings.xml><?xml version="1.0" encoding="utf-8"?>
<sst xmlns="http://schemas.openxmlformats.org/spreadsheetml/2006/main" count="98" uniqueCount="57">
  <si>
    <t>Product ID</t>
  </si>
  <si>
    <t>Product Name</t>
  </si>
  <si>
    <t>Category</t>
  </si>
  <si>
    <t>Supplier</t>
  </si>
  <si>
    <t>Supplier Cost (â‚¹)</t>
  </si>
  <si>
    <t>Packaging Cost (â‚¹)</t>
  </si>
  <si>
    <t>Shipping Cost (â‚¹)</t>
  </si>
  <si>
    <t>Total Cost (â‚¹)</t>
  </si>
  <si>
    <t>Markup Multiplier</t>
  </si>
  <si>
    <t>Selling Price (â‚¹)</t>
  </si>
  <si>
    <t>Stock Quantity</t>
  </si>
  <si>
    <t>Sold Quantity</t>
  </si>
  <si>
    <t>Available Stock</t>
  </si>
  <si>
    <t>Status</t>
  </si>
  <si>
    <t>SKU</t>
  </si>
  <si>
    <t>Weight (g)</t>
  </si>
  <si>
    <t>Material</t>
  </si>
  <si>
    <t>Images Uploaded</t>
  </si>
  <si>
    <t>Listed on Website</t>
  </si>
  <si>
    <t>Listed on Instagram</t>
  </si>
  <si>
    <t>Notes</t>
  </si>
  <si>
    <t>JBG-001</t>
  </si>
  <si>
    <t>Necklaces</t>
  </si>
  <si>
    <t>Naveen Collections</t>
  </si>
  <si>
    <t>Available</t>
  </si>
  <si>
    <t>JBG-NCK-001</t>
  </si>
  <si>
    <t>Yes</t>
  </si>
  <si>
    <t>New Launch</t>
  </si>
  <si>
    <t>JBG-002</t>
  </si>
  <si>
    <t>JBG-NCK-002</t>
  </si>
  <si>
    <t>JBG-003</t>
  </si>
  <si>
    <t>JBG-004</t>
  </si>
  <si>
    <t>JBG-005</t>
  </si>
  <si>
    <t>Kaveri</t>
  </si>
  <si>
    <t>Raahi</t>
  </si>
  <si>
    <t>Saanjh</t>
  </si>
  <si>
    <t>Adaa</t>
  </si>
  <si>
    <t>AD - Pendant</t>
  </si>
  <si>
    <t>JBG-NCK-003</t>
  </si>
  <si>
    <t>JBG-ADP-001</t>
  </si>
  <si>
    <t>Kundan Stones + Pearl Detailing + Emerald Green Beads + Antique Gold Finish</t>
  </si>
  <si>
    <t>AD Polki + Pearl + Pink Beads + Gold Plated Finish</t>
  </si>
  <si>
    <t>Antique Gold Finish + AD Stone Detailing + Filigree Work</t>
  </si>
  <si>
    <t>American Diamond + Ruby Stones + Gold Plating</t>
  </si>
  <si>
    <t>Ruhani</t>
  </si>
  <si>
    <t>Gems &amp; Jewels</t>
  </si>
  <si>
    <t>JBG-ADP-002</t>
  </si>
  <si>
    <t>AD Stones + Emerald Green Beads + Silver Finish</t>
  </si>
  <si>
    <t>Kanak</t>
  </si>
  <si>
    <t>Antique Gold Finish + Filigree Detailing + Premium Stone Accents</t>
  </si>
  <si>
    <t>JBG-006</t>
  </si>
  <si>
    <t>JBG-NCK-004</t>
  </si>
  <si>
    <t>Virasat</t>
  </si>
  <si>
    <t>JBG-007</t>
  </si>
  <si>
    <t>Ring</t>
  </si>
  <si>
    <t>JBG-RNG-001</t>
  </si>
  <si>
    <t>Antique Gold Finish + Peacock Motif Detailing + Emerald Enamel Accents + Premium Stone Embellishments + Ghungroo Danglings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</si>
</sst>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98BD1-4979-45B2-A4A1-1CB48783F5EE}">
  <dimension ref="A1:U8"/>
  <sheetViews>
    <sheetView tabSelected="1" workbookViewId="0">
      <selection activeCell="N13" sqref="N13"/>
    </sheetView>
  </sheetViews>
  <sheetFormatPr defaultColWidth="9.77734375" defaultRowHeight="14.4" x14ac:dyDescent="0.3"/>
  <cols>
    <col min="1" max="16" width="9.77734375" style="1"/>
    <col min="17" max="17" width="19.5546875" style="1" customWidth="1"/>
    <col min="18" max="16384" width="9.77734375" style="1"/>
  </cols>
  <sheetData>
    <row r="1" spans="1:2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60" customHeight="1" x14ac:dyDescent="0.3">
      <c r="A2" s="1" t="s">
        <v>21</v>
      </c>
      <c r="B2" s="3" t="s">
        <v>33</v>
      </c>
      <c r="C2" s="1" t="s">
        <v>22</v>
      </c>
      <c r="D2" s="1" t="s">
        <v>23</v>
      </c>
      <c r="E2" s="1">
        <v>450</v>
      </c>
      <c r="F2" s="1">
        <v>25</v>
      </c>
      <c r="G2" s="1">
        <v>150</v>
      </c>
      <c r="H2" s="1">
        <f>SUM(E2:G2)</f>
        <v>625</v>
      </c>
      <c r="I2" s="1">
        <v>3</v>
      </c>
      <c r="J2" s="1">
        <f>ROUNDUP((H2*I2)/500,0)*500-1</f>
        <v>1999</v>
      </c>
      <c r="K2" s="1">
        <v>2</v>
      </c>
      <c r="M2" s="1">
        <f>K2-L2</f>
        <v>2</v>
      </c>
      <c r="N2" s="1" t="s">
        <v>24</v>
      </c>
      <c r="O2" s="1" t="s">
        <v>25</v>
      </c>
      <c r="Q2" s="1" t="s">
        <v>42</v>
      </c>
      <c r="R2" s="1" t="s">
        <v>26</v>
      </c>
      <c r="S2" s="1" t="s">
        <v>26</v>
      </c>
      <c r="T2" s="1" t="s">
        <v>26</v>
      </c>
      <c r="U2" s="1" t="s">
        <v>27</v>
      </c>
    </row>
    <row r="3" spans="1:21" ht="60" customHeight="1" x14ac:dyDescent="0.3">
      <c r="A3" s="1" t="s">
        <v>28</v>
      </c>
      <c r="B3" s="3" t="s">
        <v>34</v>
      </c>
      <c r="C3" s="1" t="s">
        <v>22</v>
      </c>
      <c r="D3" s="1" t="s">
        <v>23</v>
      </c>
      <c r="E3" s="1">
        <v>1240</v>
      </c>
      <c r="F3" s="1">
        <v>25</v>
      </c>
      <c r="G3" s="1">
        <v>150</v>
      </c>
      <c r="H3" s="1">
        <f>SUM(E3:G3)</f>
        <v>1415</v>
      </c>
      <c r="I3" s="1">
        <v>3</v>
      </c>
      <c r="J3" s="1">
        <f>ROUNDUP((H3*I3)/500,0)*500-1</f>
        <v>4499</v>
      </c>
      <c r="K3" s="1">
        <v>1</v>
      </c>
      <c r="M3" s="1">
        <f>K3-L3</f>
        <v>1</v>
      </c>
      <c r="N3" s="1" t="s">
        <v>24</v>
      </c>
      <c r="O3" s="1" t="s">
        <v>29</v>
      </c>
      <c r="Q3" s="1" t="s">
        <v>41</v>
      </c>
      <c r="R3" s="1" t="s">
        <v>26</v>
      </c>
      <c r="S3" s="1" t="s">
        <v>26</v>
      </c>
      <c r="T3" s="1" t="s">
        <v>26</v>
      </c>
      <c r="U3" s="1" t="s">
        <v>27</v>
      </c>
    </row>
    <row r="4" spans="1:21" ht="60" customHeight="1" x14ac:dyDescent="0.3">
      <c r="A4" s="1" t="s">
        <v>30</v>
      </c>
      <c r="B4" s="3" t="s">
        <v>35</v>
      </c>
      <c r="C4" s="1" t="s">
        <v>22</v>
      </c>
      <c r="D4" s="1" t="s">
        <v>23</v>
      </c>
      <c r="E4" s="1">
        <v>1495</v>
      </c>
      <c r="F4" s="1">
        <v>25</v>
      </c>
      <c r="G4" s="1">
        <v>150</v>
      </c>
      <c r="H4" s="1">
        <f>SUM(E4:G4)</f>
        <v>1670</v>
      </c>
      <c r="I4" s="1">
        <v>3</v>
      </c>
      <c r="J4" s="1">
        <f>ROUNDUP((H4*I4)/500,0)*500-1</f>
        <v>5499</v>
      </c>
      <c r="K4" s="1">
        <v>2</v>
      </c>
      <c r="M4" s="1">
        <f>K4-L4</f>
        <v>2</v>
      </c>
      <c r="N4" s="1" t="s">
        <v>24</v>
      </c>
      <c r="O4" s="1" t="s">
        <v>38</v>
      </c>
      <c r="Q4" s="1" t="s">
        <v>40</v>
      </c>
      <c r="R4" s="1" t="s">
        <v>26</v>
      </c>
      <c r="S4" s="1" t="s">
        <v>26</v>
      </c>
      <c r="T4" s="1" t="s">
        <v>26</v>
      </c>
      <c r="U4" s="1" t="s">
        <v>27</v>
      </c>
    </row>
    <row r="5" spans="1:21" ht="60" customHeight="1" x14ac:dyDescent="0.3">
      <c r="A5" s="1" t="s">
        <v>31</v>
      </c>
      <c r="B5" s="3" t="s">
        <v>36</v>
      </c>
      <c r="C5" s="1" t="s">
        <v>37</v>
      </c>
      <c r="D5" s="1" t="s">
        <v>23</v>
      </c>
      <c r="E5" s="1">
        <v>1134</v>
      </c>
      <c r="F5" s="1">
        <v>25</v>
      </c>
      <c r="G5" s="1">
        <v>150</v>
      </c>
      <c r="H5" s="1">
        <f>SUM(E5:G5)</f>
        <v>1309</v>
      </c>
      <c r="I5" s="1">
        <v>3</v>
      </c>
      <c r="J5" s="1">
        <f>ROUNDUP((H5*I5)/500,0)*500-1</f>
        <v>3999</v>
      </c>
      <c r="K5" s="1">
        <v>2</v>
      </c>
      <c r="M5" s="1">
        <f>K5-L5</f>
        <v>2</v>
      </c>
      <c r="N5" s="1" t="s">
        <v>24</v>
      </c>
      <c r="O5" s="1" t="s">
        <v>39</v>
      </c>
      <c r="Q5" s="1" t="s">
        <v>43</v>
      </c>
      <c r="R5" s="1" t="s">
        <v>26</v>
      </c>
      <c r="S5" s="1" t="s">
        <v>26</v>
      </c>
      <c r="T5" s="1" t="s">
        <v>26</v>
      </c>
      <c r="U5" s="1" t="s">
        <v>27</v>
      </c>
    </row>
    <row r="6" spans="1:21" ht="60" customHeight="1" x14ac:dyDescent="0.3">
      <c r="A6" s="1" t="s">
        <v>32</v>
      </c>
      <c r="B6" s="1" t="s">
        <v>44</v>
      </c>
      <c r="C6" s="1" t="s">
        <v>37</v>
      </c>
      <c r="D6" s="1" t="s">
        <v>45</v>
      </c>
      <c r="E6" s="1">
        <v>2100</v>
      </c>
      <c r="F6" s="1">
        <v>25</v>
      </c>
      <c r="G6" s="1">
        <v>150</v>
      </c>
      <c r="H6" s="1">
        <f>SUM(E6:G6)</f>
        <v>2275</v>
      </c>
      <c r="I6" s="1">
        <v>1.75</v>
      </c>
      <c r="J6" s="1">
        <f>ROUNDUP((H6*I6)/500,0)*500-1</f>
        <v>3999</v>
      </c>
      <c r="K6" s="1">
        <v>2</v>
      </c>
      <c r="M6" s="1">
        <f>K6-L6</f>
        <v>2</v>
      </c>
      <c r="N6" s="1" t="s">
        <v>24</v>
      </c>
      <c r="O6" s="1" t="s">
        <v>46</v>
      </c>
      <c r="Q6" s="1" t="s">
        <v>47</v>
      </c>
      <c r="R6" s="1" t="s">
        <v>26</v>
      </c>
      <c r="S6" s="1" t="s">
        <v>26</v>
      </c>
      <c r="T6" s="1" t="s">
        <v>26</v>
      </c>
      <c r="U6" s="1" t="s">
        <v>27</v>
      </c>
    </row>
    <row r="7" spans="1:21" ht="60" customHeight="1" x14ac:dyDescent="0.3">
      <c r="A7" s="1" t="s">
        <v>50</v>
      </c>
      <c r="B7" s="1" t="s">
        <v>48</v>
      </c>
      <c r="C7" s="1" t="s">
        <v>22</v>
      </c>
      <c r="D7" s="1" t="s">
        <v>23</v>
      </c>
      <c r="E7" s="1">
        <v>472</v>
      </c>
      <c r="F7" s="1">
        <v>30</v>
      </c>
      <c r="G7" s="1">
        <v>150</v>
      </c>
      <c r="H7" s="1">
        <f>SUM(E7:G7)</f>
        <v>652</v>
      </c>
      <c r="I7" s="1">
        <v>3</v>
      </c>
      <c r="J7" s="1">
        <f>ROUNDUP((H7*I7)/500,0)*500-1</f>
        <v>1999</v>
      </c>
      <c r="K7" s="1">
        <v>2</v>
      </c>
      <c r="M7" s="1">
        <f>K7-L7</f>
        <v>2</v>
      </c>
      <c r="N7" s="1" t="s">
        <v>24</v>
      </c>
      <c r="O7" s="1" t="s">
        <v>51</v>
      </c>
      <c r="Q7" s="1" t="s">
        <v>49</v>
      </c>
      <c r="R7" s="1" t="s">
        <v>26</v>
      </c>
      <c r="S7" s="1" t="s">
        <v>26</v>
      </c>
      <c r="T7" s="1" t="s">
        <v>26</v>
      </c>
      <c r="U7" s="1" t="s">
        <v>27</v>
      </c>
    </row>
    <row r="8" spans="1:21" ht="60" customHeight="1" x14ac:dyDescent="0.3">
      <c r="A8" s="1" t="s">
        <v>53</v>
      </c>
      <c r="B8" s="1" t="s">
        <v>52</v>
      </c>
      <c r="C8" s="1" t="s">
        <v>54</v>
      </c>
      <c r="D8" s="1" t="s">
        <v>23</v>
      </c>
      <c r="E8" s="1">
        <v>71</v>
      </c>
      <c r="F8" s="1">
        <v>30</v>
      </c>
      <c r="G8" s="1">
        <v>150</v>
      </c>
      <c r="H8" s="1">
        <f>SUM(E8:G8)</f>
        <v>251</v>
      </c>
      <c r="I8" s="1">
        <v>3</v>
      </c>
      <c r="J8" s="1">
        <f>ROUNDUP((H8*I8)/500,0)*500-1</f>
        <v>999</v>
      </c>
      <c r="K8" s="1">
        <v>1</v>
      </c>
      <c r="M8" s="1">
        <v>1</v>
      </c>
      <c r="N8" s="1" t="s">
        <v>24</v>
      </c>
      <c r="O8" s="1" t="s">
        <v>55</v>
      </c>
      <c r="Q8" s="1" t="s">
        <v>56</v>
      </c>
      <c r="R8" s="1" t="s">
        <v>26</v>
      </c>
      <c r="S8" s="1" t="s">
        <v>26</v>
      </c>
      <c r="T8" s="1" t="s">
        <v>26</v>
      </c>
      <c r="U8" s="1" t="s">
        <v>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inventory-ledger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Ahuja, Divyansh</dc:creator>
  <cp:lastModifiedBy>Ahuja, Divyansh</cp:lastModifiedBy>
  <dcterms:created xsi:type="dcterms:W3CDTF">2026-05-15T18:27:58Z</dcterms:created>
  <dcterms:modified xsi:type="dcterms:W3CDTF">2026-05-16T19:00:05Z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2026-05-15T18:29:45Z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ad762231-6505-4dcd-a953-205c62cd0979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