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hujadiv\Desktop\Team\Automations\JBG\jewels-by-geetika\business\"/>
    </mc:Choice>
  </mc:AlternateContent>
  <xr:revisionPtr revIDLastSave="0" documentId="13_ncr:1_{6B847AFA-2907-4E2C-8202-D9D05C792B29}" xr6:coauthVersionLast="47" xr6:coauthVersionMax="47" xr10:uidLastSave="{00000000-0000-0000-0000-000000000000}"/>
  <bookViews>
    <workbookView xWindow="28680" yWindow="-120" windowWidth="29040" windowHeight="15720" xr2:uid="{68BF2D20-07EA-4E2C-B5AF-3720521CC247}"/>
  </bookViews>
  <sheets>
    <sheet name="inventory-ledg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1" l="1"/>
  <c r="J12" i="1" s="1"/>
  <c r="H11" i="1"/>
  <c r="J11" i="1" s="1"/>
  <c r="H10" i="1"/>
  <c r="J10" i="1" s="1"/>
  <c r="H9" i="1"/>
  <c r="J9" i="1" s="1"/>
  <c r="H8" i="1"/>
  <c r="J8" i="1" s="1"/>
  <c r="M7" i="1"/>
  <c r="H7" i="1"/>
  <c r="J7" i="1" s="1"/>
  <c r="M6" i="1"/>
  <c r="H6" i="1"/>
  <c r="J6" i="1" s="1"/>
  <c r="M5" i="1"/>
  <c r="M4" i="1"/>
  <c r="M3" i="1"/>
  <c r="M2" i="1"/>
  <c r="H5" i="1"/>
  <c r="J5" i="1" s="1"/>
  <c r="H4" i="1"/>
  <c r="J4" i="1" s="1"/>
  <c r="H3" i="1"/>
  <c r="J3" i="1" s="1"/>
  <c r="H2" i="1"/>
  <c r="J2" i="1" s="1"/>
</calcChain>
</file>

<file path=xl/sharedStrings.xml><?xml version="1.0" encoding="utf-8"?>
<sst xmlns="http://schemas.openxmlformats.org/spreadsheetml/2006/main" count="141" uniqueCount="74">
  <si>
    <t>Product ID</t>
  </si>
  <si>
    <t>Product Name</t>
  </si>
  <si>
    <t>Category</t>
  </si>
  <si>
    <t>Supplier</t>
  </si>
  <si>
    <t>Supplier Cost (â‚¹)</t>
  </si>
  <si>
    <t>Packaging Cost (â‚¹)</t>
  </si>
  <si>
    <t>Shipping Cost (â‚¹)</t>
  </si>
  <si>
    <t>Total Cost (â‚¹)</t>
  </si>
  <si>
    <t>Markup Multiplier</t>
  </si>
  <si>
    <t>Selling Price (â‚¹)</t>
  </si>
  <si>
    <t>Stock Quantity</t>
  </si>
  <si>
    <t>Sold Quantity</t>
  </si>
  <si>
    <t>Available Stock</t>
  </si>
  <si>
    <t>Status</t>
  </si>
  <si>
    <t>SKU</t>
  </si>
  <si>
    <t>Material</t>
  </si>
  <si>
    <t>Images Uploaded</t>
  </si>
  <si>
    <t>Listed on Website</t>
  </si>
  <si>
    <t>Listed on Instagram</t>
  </si>
  <si>
    <t>Notes</t>
  </si>
  <si>
    <t>JBG-001</t>
  </si>
  <si>
    <t>Necklaces</t>
  </si>
  <si>
    <t>Naveen Collections</t>
  </si>
  <si>
    <t>Available</t>
  </si>
  <si>
    <t>JBG-NCK-001</t>
  </si>
  <si>
    <t>Yes</t>
  </si>
  <si>
    <t>New Launch</t>
  </si>
  <si>
    <t>JBG-002</t>
  </si>
  <si>
    <t>JBG-NCK-002</t>
  </si>
  <si>
    <t>JBG-003</t>
  </si>
  <si>
    <t>JBG-004</t>
  </si>
  <si>
    <t>JBG-005</t>
  </si>
  <si>
    <t>Kaveri</t>
  </si>
  <si>
    <t>Raahi</t>
  </si>
  <si>
    <t>Saanjh</t>
  </si>
  <si>
    <t>Adaa</t>
  </si>
  <si>
    <t>AD - Pendant</t>
  </si>
  <si>
    <t>JBG-NCK-003</t>
  </si>
  <si>
    <t>JBG-ADP-001</t>
  </si>
  <si>
    <t>Kundan Stones + Pearl Detailing + Emerald Green Beads + Antique Gold Finish</t>
  </si>
  <si>
    <t>AD Polki + Pearl + Pink Beads + Gold Plated Finish</t>
  </si>
  <si>
    <t>Antique Gold Finish + AD Stone Detailing + Filigree Work</t>
  </si>
  <si>
    <t>American Diamond + Ruby Stones + Gold Plating</t>
  </si>
  <si>
    <t>Ruhani</t>
  </si>
  <si>
    <t>Gems &amp; Jewels</t>
  </si>
  <si>
    <t>JBG-ADP-002</t>
  </si>
  <si>
    <t>AD Stones + Emerald Green Beads + Silver Finish</t>
  </si>
  <si>
    <t>Kanak</t>
  </si>
  <si>
    <t>Antique Gold Finish + Filigree Detailing + Premium Stone Accents</t>
  </si>
  <si>
    <t>JBG-006</t>
  </si>
  <si>
    <t>JBG-NCK-004</t>
  </si>
  <si>
    <t>Virasat</t>
  </si>
  <si>
    <t>JBG-007</t>
  </si>
  <si>
    <t>Ring</t>
  </si>
  <si>
    <t>JBG-RNG-001</t>
  </si>
  <si>
    <t>Antique Gold Finish + Peacock Motif Detailing + Emerald Enamel Accents + Premium Stone Embellishments + Ghungroo Danglings</t>
  </si>
  <si>
    <t>Antique Gold Finish + Kundan Stones + Ruby &amp; Emerald Tone Stones + Ghungroo Charms + Adjustable Ring Base</t>
  </si>
  <si>
    <t>JBG-008</t>
  </si>
  <si>
    <t>Sunehri</t>
  </si>
  <si>
    <t>JBG-RNG-002</t>
  </si>
  <si>
    <t>Antara</t>
  </si>
  <si>
    <t>JBG-009</t>
  </si>
  <si>
    <t>Antique Gold Finish + Temple Motif Detailing + Premium CZ Stones + Pearl Danglings + Green Bead Accents</t>
  </si>
  <si>
    <t>Temple Jewellery</t>
  </si>
  <si>
    <t>JBG-TMJ-001</t>
  </si>
  <si>
    <t>JBG-010</t>
  </si>
  <si>
    <t>Chandni</t>
  </si>
  <si>
    <t>JBG-011</t>
  </si>
  <si>
    <t>Rajsi</t>
  </si>
  <si>
    <t>American Diamond + Emerald Green Stone + Premium Gold Finish + Intricate Zircon Detailing</t>
  </si>
  <si>
    <t>JBG-ADP-003</t>
  </si>
  <si>
    <t>AD Stones + Emerald Green Stone Accents + Pearl Danglings + Antique Gold Finish</t>
  </si>
  <si>
    <t>AD - Necklace</t>
  </si>
  <si>
    <t>JBG-ADN-001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</si>
</sst>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 vertical="center" wrapText="1"/>
    </xf>
    <xf numFmtId="0" fontId="16" fillId="33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98BD1-4979-45B2-A4A1-1CB48783F5EE}">
  <dimension ref="A1:T56"/>
  <sheetViews>
    <sheetView tabSelected="1" topLeftCell="A5" workbookViewId="0">
      <selection activeCell="P12" sqref="P12"/>
    </sheetView>
  </sheetViews>
  <sheetFormatPr defaultColWidth="9.77734375" defaultRowHeight="14.4" x14ac:dyDescent="0.3"/>
  <cols>
    <col min="1" max="15" width="9.77734375" style="1"/>
    <col min="16" max="16" width="19.5546875" style="1" customWidth="1"/>
    <col min="17" max="16384" width="9.77734375" style="1"/>
  </cols>
  <sheetData>
    <row r="1" spans="1:20" ht="28.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spans="1:20" ht="60" customHeight="1" x14ac:dyDescent="0.3">
      <c r="A2" s="1" t="s">
        <v>20</v>
      </c>
      <c r="B2" s="3" t="s">
        <v>32</v>
      </c>
      <c r="C2" s="1" t="s">
        <v>21</v>
      </c>
      <c r="D2" s="1" t="s">
        <v>22</v>
      </c>
      <c r="E2" s="1">
        <v>450</v>
      </c>
      <c r="F2" s="1">
        <v>50</v>
      </c>
      <c r="G2" s="1">
        <v>150</v>
      </c>
      <c r="H2" s="1">
        <f t="shared" ref="H2:H12" si="0">SUM(E2:G2)</f>
        <v>650</v>
      </c>
      <c r="I2" s="1">
        <v>3</v>
      </c>
      <c r="J2" s="1">
        <f t="shared" ref="J2:J12" si="1">ROUNDUP((H2*I2)/500,0)*500-1</f>
        <v>1999</v>
      </c>
      <c r="K2" s="1">
        <v>2</v>
      </c>
      <c r="M2" s="1">
        <f t="shared" ref="M2:M7" si="2">K2-L2</f>
        <v>2</v>
      </c>
      <c r="N2" s="1" t="s">
        <v>23</v>
      </c>
      <c r="O2" s="1" t="s">
        <v>24</v>
      </c>
      <c r="P2" s="1" t="s">
        <v>41</v>
      </c>
      <c r="Q2" s="1" t="s">
        <v>25</v>
      </c>
      <c r="R2" s="1" t="s">
        <v>25</v>
      </c>
      <c r="S2" s="1" t="s">
        <v>25</v>
      </c>
      <c r="T2" s="1" t="s">
        <v>26</v>
      </c>
    </row>
    <row r="3" spans="1:20" ht="60" customHeight="1" x14ac:dyDescent="0.3">
      <c r="A3" s="1" t="s">
        <v>27</v>
      </c>
      <c r="B3" s="3" t="s">
        <v>33</v>
      </c>
      <c r="C3" s="1" t="s">
        <v>21</v>
      </c>
      <c r="D3" s="1" t="s">
        <v>22</v>
      </c>
      <c r="E3" s="1">
        <v>1240</v>
      </c>
      <c r="F3" s="1">
        <v>50</v>
      </c>
      <c r="G3" s="1">
        <v>150</v>
      </c>
      <c r="H3" s="1">
        <f t="shared" si="0"/>
        <v>1440</v>
      </c>
      <c r="I3" s="1">
        <v>3</v>
      </c>
      <c r="J3" s="1">
        <f t="shared" si="1"/>
        <v>4499</v>
      </c>
      <c r="K3" s="1">
        <v>1</v>
      </c>
      <c r="M3" s="1">
        <f t="shared" si="2"/>
        <v>1</v>
      </c>
      <c r="N3" s="1" t="s">
        <v>23</v>
      </c>
      <c r="O3" s="1" t="s">
        <v>28</v>
      </c>
      <c r="P3" s="1" t="s">
        <v>40</v>
      </c>
      <c r="Q3" s="1" t="s">
        <v>25</v>
      </c>
      <c r="R3" s="1" t="s">
        <v>25</v>
      </c>
      <c r="S3" s="1" t="s">
        <v>25</v>
      </c>
      <c r="T3" s="1" t="s">
        <v>26</v>
      </c>
    </row>
    <row r="4" spans="1:20" ht="60" customHeight="1" x14ac:dyDescent="0.3">
      <c r="A4" s="1" t="s">
        <v>29</v>
      </c>
      <c r="B4" s="3" t="s">
        <v>34</v>
      </c>
      <c r="C4" s="1" t="s">
        <v>21</v>
      </c>
      <c r="D4" s="1" t="s">
        <v>22</v>
      </c>
      <c r="E4" s="1">
        <v>1495</v>
      </c>
      <c r="F4" s="1">
        <v>50</v>
      </c>
      <c r="G4" s="1">
        <v>150</v>
      </c>
      <c r="H4" s="1">
        <f t="shared" si="0"/>
        <v>1695</v>
      </c>
      <c r="I4" s="1">
        <v>3</v>
      </c>
      <c r="J4" s="1">
        <f t="shared" si="1"/>
        <v>5499</v>
      </c>
      <c r="K4" s="1">
        <v>2</v>
      </c>
      <c r="M4" s="1">
        <f t="shared" si="2"/>
        <v>2</v>
      </c>
      <c r="N4" s="1" t="s">
        <v>23</v>
      </c>
      <c r="O4" s="1" t="s">
        <v>37</v>
      </c>
      <c r="P4" s="1" t="s">
        <v>39</v>
      </c>
      <c r="Q4" s="1" t="s">
        <v>25</v>
      </c>
      <c r="R4" s="1" t="s">
        <v>25</v>
      </c>
      <c r="S4" s="1" t="s">
        <v>25</v>
      </c>
      <c r="T4" s="1" t="s">
        <v>26</v>
      </c>
    </row>
    <row r="5" spans="1:20" ht="60" customHeight="1" x14ac:dyDescent="0.3">
      <c r="A5" s="1" t="s">
        <v>30</v>
      </c>
      <c r="B5" s="3" t="s">
        <v>35</v>
      </c>
      <c r="C5" s="1" t="s">
        <v>36</v>
      </c>
      <c r="D5" s="1" t="s">
        <v>22</v>
      </c>
      <c r="E5" s="1">
        <v>1134</v>
      </c>
      <c r="F5" s="1">
        <v>30</v>
      </c>
      <c r="G5" s="1">
        <v>150</v>
      </c>
      <c r="H5" s="1">
        <f t="shared" si="0"/>
        <v>1314</v>
      </c>
      <c r="I5" s="1">
        <v>3</v>
      </c>
      <c r="J5" s="1">
        <f t="shared" si="1"/>
        <v>3999</v>
      </c>
      <c r="K5" s="1">
        <v>2</v>
      </c>
      <c r="M5" s="1">
        <f t="shared" si="2"/>
        <v>2</v>
      </c>
      <c r="N5" s="1" t="s">
        <v>23</v>
      </c>
      <c r="O5" s="1" t="s">
        <v>38</v>
      </c>
      <c r="P5" s="1" t="s">
        <v>42</v>
      </c>
      <c r="Q5" s="1" t="s">
        <v>25</v>
      </c>
      <c r="R5" s="1" t="s">
        <v>25</v>
      </c>
      <c r="S5" s="1" t="s">
        <v>25</v>
      </c>
      <c r="T5" s="1" t="s">
        <v>26</v>
      </c>
    </row>
    <row r="6" spans="1:20" ht="60" customHeight="1" x14ac:dyDescent="0.3">
      <c r="A6" s="1" t="s">
        <v>31</v>
      </c>
      <c r="B6" s="1" t="s">
        <v>43</v>
      </c>
      <c r="C6" s="1" t="s">
        <v>36</v>
      </c>
      <c r="D6" s="1" t="s">
        <v>44</v>
      </c>
      <c r="E6" s="1">
        <v>2100</v>
      </c>
      <c r="F6" s="1">
        <v>30</v>
      </c>
      <c r="G6" s="1">
        <v>150</v>
      </c>
      <c r="H6" s="1">
        <f t="shared" si="0"/>
        <v>2280</v>
      </c>
      <c r="I6" s="1">
        <v>1.75</v>
      </c>
      <c r="J6" s="1">
        <f t="shared" si="1"/>
        <v>3999</v>
      </c>
      <c r="K6" s="1">
        <v>2</v>
      </c>
      <c r="M6" s="1">
        <f t="shared" si="2"/>
        <v>2</v>
      </c>
      <c r="N6" s="1" t="s">
        <v>23</v>
      </c>
      <c r="O6" s="1" t="s">
        <v>45</v>
      </c>
      <c r="P6" s="1" t="s">
        <v>46</v>
      </c>
      <c r="Q6" s="1" t="s">
        <v>25</v>
      </c>
      <c r="R6" s="1" t="s">
        <v>25</v>
      </c>
      <c r="S6" s="1" t="s">
        <v>25</v>
      </c>
      <c r="T6" s="1" t="s">
        <v>26</v>
      </c>
    </row>
    <row r="7" spans="1:20" ht="60" customHeight="1" x14ac:dyDescent="0.3">
      <c r="A7" s="1" t="s">
        <v>49</v>
      </c>
      <c r="B7" s="1" t="s">
        <v>47</v>
      </c>
      <c r="C7" s="1" t="s">
        <v>21</v>
      </c>
      <c r="D7" s="1" t="s">
        <v>22</v>
      </c>
      <c r="E7" s="1">
        <v>472</v>
      </c>
      <c r="F7" s="1">
        <v>50</v>
      </c>
      <c r="G7" s="1">
        <v>150</v>
      </c>
      <c r="H7" s="1">
        <f t="shared" si="0"/>
        <v>672</v>
      </c>
      <c r="I7" s="1">
        <v>3</v>
      </c>
      <c r="J7" s="1">
        <f t="shared" si="1"/>
        <v>2499</v>
      </c>
      <c r="K7" s="1">
        <v>2</v>
      </c>
      <c r="M7" s="1">
        <f t="shared" si="2"/>
        <v>2</v>
      </c>
      <c r="N7" s="1" t="s">
        <v>23</v>
      </c>
      <c r="O7" s="1" t="s">
        <v>50</v>
      </c>
      <c r="P7" s="1" t="s">
        <v>48</v>
      </c>
      <c r="Q7" s="1" t="s">
        <v>25</v>
      </c>
      <c r="R7" s="1" t="s">
        <v>25</v>
      </c>
      <c r="S7" s="1" t="s">
        <v>25</v>
      </c>
      <c r="T7" s="1" t="s">
        <v>26</v>
      </c>
    </row>
    <row r="8" spans="1:20" ht="60" customHeight="1" x14ac:dyDescent="0.3">
      <c r="A8" s="1" t="s">
        <v>52</v>
      </c>
      <c r="B8" s="1" t="s">
        <v>51</v>
      </c>
      <c r="C8" s="1" t="s">
        <v>53</v>
      </c>
      <c r="D8" s="1" t="s">
        <v>22</v>
      </c>
      <c r="E8" s="1">
        <v>71</v>
      </c>
      <c r="F8" s="1">
        <v>50</v>
      </c>
      <c r="G8" s="1">
        <v>150</v>
      </c>
      <c r="H8" s="1">
        <f t="shared" si="0"/>
        <v>271</v>
      </c>
      <c r="I8" s="1">
        <v>3</v>
      </c>
      <c r="J8" s="1">
        <f t="shared" si="1"/>
        <v>999</v>
      </c>
      <c r="K8" s="1">
        <v>1</v>
      </c>
      <c r="M8" s="1">
        <v>1</v>
      </c>
      <c r="N8" s="1" t="s">
        <v>23</v>
      </c>
      <c r="O8" s="1" t="s">
        <v>54</v>
      </c>
      <c r="P8" s="1" t="s">
        <v>55</v>
      </c>
      <c r="Q8" s="1" t="s">
        <v>25</v>
      </c>
      <c r="R8" s="1" t="s">
        <v>25</v>
      </c>
      <c r="S8" s="1" t="s">
        <v>25</v>
      </c>
      <c r="T8" s="1" t="s">
        <v>26</v>
      </c>
    </row>
    <row r="9" spans="1:20" ht="60" customHeight="1" x14ac:dyDescent="0.3">
      <c r="A9" s="1" t="s">
        <v>57</v>
      </c>
      <c r="B9" s="1" t="s">
        <v>58</v>
      </c>
      <c r="C9" s="1" t="s">
        <v>53</v>
      </c>
      <c r="D9" s="1" t="s">
        <v>22</v>
      </c>
      <c r="E9" s="1">
        <v>110</v>
      </c>
      <c r="F9" s="1">
        <v>50</v>
      </c>
      <c r="G9" s="1">
        <v>150</v>
      </c>
      <c r="H9" s="1">
        <f t="shared" si="0"/>
        <v>310</v>
      </c>
      <c r="I9" s="1">
        <v>3</v>
      </c>
      <c r="J9" s="1">
        <f t="shared" si="1"/>
        <v>999</v>
      </c>
      <c r="K9" s="1">
        <v>2</v>
      </c>
      <c r="M9" s="1">
        <v>2</v>
      </c>
      <c r="N9" s="1" t="s">
        <v>23</v>
      </c>
      <c r="O9" s="1" t="s">
        <v>59</v>
      </c>
      <c r="P9" s="1" t="s">
        <v>56</v>
      </c>
      <c r="Q9" s="1" t="s">
        <v>25</v>
      </c>
      <c r="R9" s="1" t="s">
        <v>25</v>
      </c>
      <c r="S9" s="1" t="s">
        <v>25</v>
      </c>
      <c r="T9" s="1" t="s">
        <v>26</v>
      </c>
    </row>
    <row r="10" spans="1:20" ht="60" customHeight="1" x14ac:dyDescent="0.3">
      <c r="A10" s="1" t="s">
        <v>61</v>
      </c>
      <c r="B10" s="1" t="s">
        <v>60</v>
      </c>
      <c r="C10" s="1" t="s">
        <v>63</v>
      </c>
      <c r="D10" s="1" t="s">
        <v>22</v>
      </c>
      <c r="E10" s="1">
        <v>1070</v>
      </c>
      <c r="F10" s="1">
        <v>50</v>
      </c>
      <c r="G10" s="1">
        <v>150</v>
      </c>
      <c r="H10" s="1">
        <f t="shared" si="0"/>
        <v>1270</v>
      </c>
      <c r="I10" s="1">
        <v>3</v>
      </c>
      <c r="J10" s="1">
        <f t="shared" si="1"/>
        <v>3999</v>
      </c>
      <c r="K10" s="1">
        <v>2</v>
      </c>
      <c r="M10" s="1">
        <v>2</v>
      </c>
      <c r="N10" s="1" t="s">
        <v>23</v>
      </c>
      <c r="O10" s="1" t="s">
        <v>64</v>
      </c>
      <c r="P10" s="1" t="s">
        <v>62</v>
      </c>
      <c r="Q10" s="1" t="s">
        <v>25</v>
      </c>
      <c r="R10" s="1" t="s">
        <v>25</v>
      </c>
      <c r="S10" s="1" t="s">
        <v>25</v>
      </c>
      <c r="T10" s="1" t="s">
        <v>26</v>
      </c>
    </row>
    <row r="11" spans="1:20" ht="60" customHeight="1" x14ac:dyDescent="0.3">
      <c r="A11" s="1" t="s">
        <v>65</v>
      </c>
      <c r="B11" s="1" t="s">
        <v>66</v>
      </c>
      <c r="C11" s="1" t="s">
        <v>36</v>
      </c>
      <c r="D11" s="1" t="s">
        <v>22</v>
      </c>
      <c r="E11" s="1">
        <v>1069</v>
      </c>
      <c r="F11" s="1">
        <v>50</v>
      </c>
      <c r="G11" s="1">
        <v>150</v>
      </c>
      <c r="H11" s="1">
        <f t="shared" si="0"/>
        <v>1269</v>
      </c>
      <c r="I11" s="1">
        <v>3</v>
      </c>
      <c r="J11" s="1">
        <f t="shared" si="1"/>
        <v>3999</v>
      </c>
      <c r="K11" s="1">
        <v>2</v>
      </c>
      <c r="M11" s="1">
        <v>2</v>
      </c>
      <c r="N11" s="1" t="s">
        <v>23</v>
      </c>
      <c r="O11" s="1" t="s">
        <v>70</v>
      </c>
      <c r="P11" s="1" t="s">
        <v>69</v>
      </c>
      <c r="Q11" s="1" t="s">
        <v>25</v>
      </c>
      <c r="R11" s="1" t="s">
        <v>25</v>
      </c>
      <c r="S11" s="1" t="s">
        <v>25</v>
      </c>
      <c r="T11" s="1" t="s">
        <v>26</v>
      </c>
    </row>
    <row r="12" spans="1:20" ht="60" customHeight="1" x14ac:dyDescent="0.3">
      <c r="A12" s="1" t="s">
        <v>67</v>
      </c>
      <c r="B12" s="1" t="s">
        <v>68</v>
      </c>
      <c r="C12" s="1" t="s">
        <v>72</v>
      </c>
      <c r="D12" s="1" t="s">
        <v>22</v>
      </c>
      <c r="E12" s="1">
        <v>654</v>
      </c>
      <c r="F12" s="1">
        <v>50</v>
      </c>
      <c r="G12" s="1">
        <v>150</v>
      </c>
      <c r="H12" s="1">
        <f t="shared" si="0"/>
        <v>854</v>
      </c>
      <c r="I12" s="1">
        <v>3</v>
      </c>
      <c r="J12" s="1">
        <f t="shared" si="1"/>
        <v>2999</v>
      </c>
      <c r="K12" s="1">
        <v>2</v>
      </c>
      <c r="M12" s="1">
        <v>2</v>
      </c>
      <c r="N12" s="1" t="s">
        <v>23</v>
      </c>
      <c r="O12" s="1" t="s">
        <v>73</v>
      </c>
      <c r="P12" s="1" t="s">
        <v>71</v>
      </c>
      <c r="Q12" s="1" t="s">
        <v>25</v>
      </c>
      <c r="R12" s="1" t="s">
        <v>25</v>
      </c>
      <c r="S12" s="1" t="s">
        <v>25</v>
      </c>
      <c r="T12" s="1" t="s">
        <v>26</v>
      </c>
    </row>
    <row r="13" spans="1:20" ht="60" customHeight="1" x14ac:dyDescent="0.3"/>
    <row r="14" spans="1:20" ht="60" customHeight="1" x14ac:dyDescent="0.3"/>
    <row r="15" spans="1:20" ht="60" customHeight="1" x14ac:dyDescent="0.3"/>
    <row r="16" spans="1:20" ht="60" customHeight="1" x14ac:dyDescent="0.3"/>
    <row r="17" ht="60" customHeight="1" x14ac:dyDescent="0.3"/>
    <row r="18" ht="60" customHeight="1" x14ac:dyDescent="0.3"/>
    <row r="19" ht="60" customHeight="1" x14ac:dyDescent="0.3"/>
    <row r="20" ht="60" customHeight="1" x14ac:dyDescent="0.3"/>
    <row r="21" ht="60" customHeight="1" x14ac:dyDescent="0.3"/>
    <row r="22" ht="60" customHeight="1" x14ac:dyDescent="0.3"/>
    <row r="23" ht="60" customHeight="1" x14ac:dyDescent="0.3"/>
    <row r="24" ht="60" customHeight="1" x14ac:dyDescent="0.3"/>
    <row r="25" ht="60" customHeight="1" x14ac:dyDescent="0.3"/>
    <row r="26" ht="60" customHeight="1" x14ac:dyDescent="0.3"/>
    <row r="27" ht="60" customHeight="1" x14ac:dyDescent="0.3"/>
    <row r="28" ht="60" customHeight="1" x14ac:dyDescent="0.3"/>
    <row r="29" ht="60" customHeight="1" x14ac:dyDescent="0.3"/>
    <row r="30" ht="60" customHeight="1" x14ac:dyDescent="0.3"/>
    <row r="31" ht="60" customHeight="1" x14ac:dyDescent="0.3"/>
    <row r="32" ht="60" customHeight="1" x14ac:dyDescent="0.3"/>
    <row r="33" ht="60" customHeight="1" x14ac:dyDescent="0.3"/>
    <row r="34" ht="60" customHeight="1" x14ac:dyDescent="0.3"/>
    <row r="35" ht="60" customHeight="1" x14ac:dyDescent="0.3"/>
    <row r="36" ht="60" customHeight="1" x14ac:dyDescent="0.3"/>
    <row r="37" ht="60" customHeight="1" x14ac:dyDescent="0.3"/>
    <row r="38" ht="60" customHeight="1" x14ac:dyDescent="0.3"/>
    <row r="39" ht="60" customHeight="1" x14ac:dyDescent="0.3"/>
    <row r="40" ht="60" customHeight="1" x14ac:dyDescent="0.3"/>
    <row r="41" ht="60" customHeight="1" x14ac:dyDescent="0.3"/>
    <row r="42" ht="60" customHeight="1" x14ac:dyDescent="0.3"/>
    <row r="43" ht="60" customHeight="1" x14ac:dyDescent="0.3"/>
    <row r="44" ht="60" customHeight="1" x14ac:dyDescent="0.3"/>
    <row r="45" ht="60" customHeight="1" x14ac:dyDescent="0.3"/>
    <row r="46" ht="60" customHeight="1" x14ac:dyDescent="0.3"/>
    <row r="47" ht="60" customHeight="1" x14ac:dyDescent="0.3"/>
    <row r="48" ht="60" customHeight="1" x14ac:dyDescent="0.3"/>
    <row r="49" ht="60" customHeight="1" x14ac:dyDescent="0.3"/>
    <row r="50" ht="60" customHeight="1" x14ac:dyDescent="0.3"/>
    <row r="51" ht="60" customHeight="1" x14ac:dyDescent="0.3"/>
    <row r="52" ht="60" customHeight="1" x14ac:dyDescent="0.3"/>
    <row r="53" ht="60" customHeight="1" x14ac:dyDescent="0.3"/>
    <row r="54" ht="60" customHeight="1" x14ac:dyDescent="0.3"/>
    <row r="55" ht="60" customHeight="1" x14ac:dyDescent="0.3"/>
    <row r="56" ht="60" customHeight="1" x14ac:dyDescent="0.3"/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inventory-ledger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Ahuja, Divyansh</dc:creator>
  <cp:lastModifiedBy>Ahuja, Divyansh</cp:lastModifiedBy>
  <dcterms:created xsi:type="dcterms:W3CDTF">2026-05-15T18:27:58Z</dcterms:created>
  <dcterms:modified xsi:type="dcterms:W3CDTF">2026-05-16T21:03:53Z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2026-05-15T18:29:45Z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ad762231-6505-4dcd-a953-205c62cd0979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