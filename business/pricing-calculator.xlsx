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9_{D3566A23-DEF6-419B-B116-A4BEFFE36388}" xr6:coauthVersionLast="47" xr6:coauthVersionMax="47" xr10:uidLastSave="{00000000-0000-0000-0000-000000000000}"/>
  <bookViews>
    <workbookView xWindow="28680" yWindow="-120" windowWidth="29040" windowHeight="15720" xr2:uid="{3EA1E2F3-88D9-406C-AEBC-3B66D1D0E7C6}"/>
  </bookViews>
  <sheets>
    <sheet name="pricing-calculator" sheetId="1" r:id="rId1"/>
  </sheets>
  <calcPr calcId="0"/>
</workbook>
</file>

<file path=xl/calcChain.xml><?xml version="1.0" encoding="utf-8"?>
<calcChain xmlns="http://schemas.openxmlformats.org/spreadsheetml/2006/main">
  <c r="E3" i="1" l="1"/>
  <c r="G3" i="1" s="1"/>
  <c r="E2" i="1"/>
  <c r="G2" i="1" s="1"/>
  <c r="L2" i="1" l="1"/>
  <c r="H2" i="1"/>
  <c r="I2" i="1" s="1"/>
  <c r="J2" i="1" s="1"/>
  <c r="K2" i="1" s="1"/>
  <c r="L3" i="1"/>
  <c r="H3" i="1"/>
  <c r="I3" i="1" s="1"/>
  <c r="J3" i="1" s="1"/>
  <c r="K3" i="1" s="1"/>
</calcChain>
</file>

<file path=xl/sharedStrings.xml><?xml version="1.0" encoding="utf-8"?>
<sst xmlns="http://schemas.openxmlformats.org/spreadsheetml/2006/main" count="14" uniqueCount="14">
  <si>
    <t>Product Name</t>
  </si>
  <si>
    <t>Markup (x)</t>
  </si>
  <si>
    <t>Margin %</t>
  </si>
  <si>
    <t>Price Point (rounded)</t>
  </si>
  <si>
    <t>Kaveri Necklace Set</t>
  </si>
  <si>
    <t>Raahi Necklace Set</t>
  </si>
  <si>
    <t>Supplier Cost</t>
  </si>
  <si>
    <t>Packaging Cost</t>
  </si>
  <si>
    <t>Shipping Cost</t>
  </si>
  <si>
    <t>Total Cost</t>
  </si>
  <si>
    <t>Selling Price</t>
  </si>
  <si>
    <t>Gateway Fee 2%</t>
  </si>
  <si>
    <t>Net Revenue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</si>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</sst>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D7B8-8219-4BAB-B946-0AD4DC2CA2E3}">
  <dimension ref="A1:L3"/>
  <sheetViews>
    <sheetView tabSelected="1" workbookViewId="0">
      <selection activeCell="F3" sqref="F3"/>
    </sheetView>
  </sheetViews>
  <sheetFormatPr defaultRowHeight="14.4" x14ac:dyDescent="0.3"/>
  <cols>
    <col min="1" max="1" width="17.77734375" bestFit="1" customWidth="1"/>
    <col min="2" max="2" width="16.5546875" bestFit="1" customWidth="1"/>
    <col min="3" max="3" width="18.44140625" bestFit="1" customWidth="1"/>
    <col min="4" max="4" width="20.44140625" bestFit="1" customWidth="1"/>
    <col min="5" max="5" width="13.77734375" bestFit="1" customWidth="1"/>
    <col min="6" max="6" width="10.109375" bestFit="1" customWidth="1"/>
    <col min="7" max="7" width="15.6640625" bestFit="1" customWidth="1"/>
    <col min="8" max="8" width="18.88671875" bestFit="1" customWidth="1"/>
    <col min="9" max="9" width="15.6640625" bestFit="1" customWidth="1"/>
    <col min="10" max="10" width="9.6640625" bestFit="1" customWidth="1"/>
    <col min="12" max="12" width="19.44140625" bestFit="1" customWidth="1"/>
    <col min="13" max="13" width="7.21875" bestFit="1" customWidth="1"/>
  </cols>
  <sheetData>
    <row r="1" spans="1:12" x14ac:dyDescent="0.3">
      <c r="A1" s="2" t="s">
        <v>0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2</v>
      </c>
      <c r="L1" s="2" t="s">
        <v>3</v>
      </c>
    </row>
    <row r="2" spans="1:12" x14ac:dyDescent="0.3">
      <c r="A2" t="s">
        <v>4</v>
      </c>
      <c r="B2">
        <v>450</v>
      </c>
      <c r="C2">
        <v>25</v>
      </c>
      <c r="D2">
        <v>150</v>
      </c>
      <c r="E2">
        <f>B2+C2+D2</f>
        <v>625</v>
      </c>
      <c r="F2">
        <v>4</v>
      </c>
      <c r="G2">
        <f>ROUNDUP((E2*F2)/500,0)*500-1</f>
        <v>2499</v>
      </c>
      <c r="H2">
        <f>G2*2%</f>
        <v>49.980000000000004</v>
      </c>
      <c r="I2">
        <f>G2-H2</f>
        <v>2449.02</v>
      </c>
      <c r="J2">
        <f>I2-E2</f>
        <v>1824.02</v>
      </c>
      <c r="K2" s="1">
        <f>J2/G2</f>
        <v>0.7298999599839936</v>
      </c>
      <c r="L2" t="str">
        <f>"₹"&amp;TEXT(G2,"#,##0")</f>
        <v>₹2,499</v>
      </c>
    </row>
    <row r="3" spans="1:12" x14ac:dyDescent="0.3">
      <c r="A3" t="s">
        <v>5</v>
      </c>
      <c r="B3">
        <v>1240</v>
      </c>
      <c r="C3">
        <v>25</v>
      </c>
      <c r="D3">
        <v>150</v>
      </c>
      <c r="E3">
        <f>B3+C3+D3</f>
        <v>1415</v>
      </c>
      <c r="F3">
        <v>4</v>
      </c>
      <c r="G3">
        <f>ROUNDUP((E3*F3)/500,0)*500-1</f>
        <v>5999</v>
      </c>
      <c r="H3">
        <f>G3*2%</f>
        <v>119.98</v>
      </c>
      <c r="I3">
        <f>G3-H3</f>
        <v>5879.02</v>
      </c>
      <c r="J3">
        <f>I3-E3</f>
        <v>4464.0200000000004</v>
      </c>
      <c r="K3" s="1">
        <f>J3/G3</f>
        <v>0.74412735455909329</v>
      </c>
      <c r="L3" t="str">
        <f>"₹"&amp;TEXT(G3,"#,##0")</f>
        <v>₹5,999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pricing-calculator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2026-05-15T18:39:39Z</dcterms:created>
  <dcterms:modified xsi:type="dcterms:W3CDTF">2026-05-15T18:42:38Z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2026-05-15T18:42:38Z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692a3a70-8589-411c-8149-1a774c8182cc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