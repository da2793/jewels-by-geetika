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jadiv\Desktop\Team\Automations\JBG\jewels-by-geetika\business\"/>
    </mc:Choice>
  </mc:AlternateContent>
  <xr:revisionPtr revIDLastSave="0" documentId="13_ncr:9_{0674D6E0-614F-4B80-828B-1369AC9A670F}" xr6:coauthVersionLast="47" xr6:coauthVersionMax="47" xr10:uidLastSave="{00000000-0000-0000-0000-000000000000}"/>
  <bookViews>
    <workbookView xWindow="28680" yWindow="-120" windowWidth="29040" windowHeight="15720" xr2:uid="{3EA1E2F3-88D9-406C-AEBC-3B66D1D0E7C6}"/>
  </bookViews>
  <sheets>
    <sheet name="pricing-calculator" sheetId="1" r:id="rId1"/>
  </sheets>
  <calcPr calcId="0"/>
</workbook>
</file>

<file path=xl/calcChain.xml><?xml version="1.0" encoding="utf-8"?>
<calcChain xmlns="http://schemas.openxmlformats.org/spreadsheetml/2006/main">
  <c r="E6" i="1" l="1"/>
  <c r="G6" i="1" s="1"/>
  <c r="E5" i="1"/>
  <c r="G5" i="1" s="1"/>
  <c r="E4" i="1"/>
  <c r="G4" i="1" s="1"/>
  <c r="E3" i="1"/>
  <c r="G3" i="1" s="1"/>
  <c r="E2" i="1"/>
  <c r="G2" i="1" s="1"/>
  <c r="L6" i="1" l="1"/>
  <c r="H6" i="1"/>
  <c r="I6" i="1" s="1"/>
  <c r="J6" i="1" s="1"/>
  <c r="K6" i="1" s="1"/>
  <c r="H5" i="1"/>
  <c r="I5" i="1" s="1"/>
  <c r="J5" i="1" s="1"/>
  <c r="K5" i="1" s="1"/>
  <c r="L5" i="1"/>
  <c r="L4" i="1"/>
  <c r="H4" i="1"/>
  <c r="I4" i="1" s="1"/>
  <c r="J4" i="1" s="1"/>
  <c r="K4" i="1" s="1"/>
  <c r="L2" i="1"/>
  <c r="H2" i="1"/>
  <c r="I2" i="1" s="1"/>
  <c r="J2" i="1" s="1"/>
  <c r="K2" i="1" s="1"/>
  <c r="L3" i="1"/>
  <c r="H3" i="1"/>
  <c r="I3" i="1" s="1"/>
  <c r="J3" i="1" s="1"/>
  <c r="K3" i="1" s="1"/>
</calcChain>
</file>

<file path=xl/sharedStrings.xml><?xml version="1.0" encoding="utf-8"?>
<sst xmlns="http://schemas.openxmlformats.org/spreadsheetml/2006/main" count="17" uniqueCount="17">
  <si>
    <t>Product Name</t>
  </si>
  <si>
    <t>Markup (x)</t>
  </si>
  <si>
    <t>Margin %</t>
  </si>
  <si>
    <t>Price Point (rounded)</t>
  </si>
  <si>
    <t>Supplier Cost</t>
  </si>
  <si>
    <t>Packaging Cost</t>
  </si>
  <si>
    <t>Shipping Cost</t>
  </si>
  <si>
    <t>Total Cost</t>
  </si>
  <si>
    <t>Selling Price</t>
  </si>
  <si>
    <t>Gateway Fee 2%</t>
  </si>
  <si>
    <t>Net Revenue</t>
  </si>
  <si>
    <t>Profit</t>
  </si>
  <si>
    <t>Kaveri</t>
  </si>
  <si>
    <t>Raahi</t>
  </si>
  <si>
    <t>Saanjh</t>
  </si>
  <si>
    <t>Adaa</t>
  </si>
  <si>
    <t>Ruhani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</si>
</sst>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D7B8-8219-4BAB-B946-0AD4DC2CA2E3}">
  <dimension ref="A1:L6"/>
  <sheetViews>
    <sheetView tabSelected="1" workbookViewId="0"/>
  </sheetViews>
  <sheetFormatPr defaultRowHeight="14.4" x14ac:dyDescent="0.3"/>
  <cols>
    <col min="1" max="1" width="13.44140625" bestFit="1" customWidth="1"/>
    <col min="2" max="2" width="16.5546875" bestFit="1" customWidth="1"/>
    <col min="3" max="3" width="18.44140625" bestFit="1" customWidth="1"/>
    <col min="4" max="4" width="20.44140625" bestFit="1" customWidth="1"/>
    <col min="5" max="5" width="13.77734375" bestFit="1" customWidth="1"/>
    <col min="6" max="6" width="10.109375" bestFit="1" customWidth="1"/>
    <col min="7" max="7" width="15.6640625" bestFit="1" customWidth="1"/>
    <col min="8" max="8" width="18.88671875" bestFit="1" customWidth="1"/>
    <col min="9" max="9" width="15.6640625" bestFit="1" customWidth="1"/>
    <col min="10" max="10" width="9.6640625" bestFit="1" customWidth="1"/>
    <col min="12" max="12" width="19.44140625" bestFit="1" customWidth="1"/>
    <col min="13" max="13" width="7.21875" bestFit="1" customWidth="1"/>
  </cols>
  <sheetData>
    <row r="1" spans="1:12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2</v>
      </c>
      <c r="L1" s="2" t="s">
        <v>3</v>
      </c>
    </row>
    <row r="2" spans="1:12" x14ac:dyDescent="0.3">
      <c r="A2" t="s">
        <v>12</v>
      </c>
      <c r="B2">
        <v>450</v>
      </c>
      <c r="C2">
        <v>25</v>
      </c>
      <c r="D2">
        <v>150</v>
      </c>
      <c r="E2">
        <f>B2+C2+D2</f>
        <v>625</v>
      </c>
      <c r="F2">
        <v>3</v>
      </c>
      <c r="G2">
        <f>ROUNDUP((E2*F2)/500,0)*500-1</f>
        <v>1999</v>
      </c>
      <c r="H2">
        <f>G2*2%</f>
        <v>39.980000000000004</v>
      </c>
      <c r="I2">
        <f>G2-H2</f>
        <v>1959.02</v>
      </c>
      <c r="J2">
        <f>I2-E2</f>
        <v>1334.02</v>
      </c>
      <c r="K2" s="1">
        <f>J2/G2</f>
        <v>0.66734367183591792</v>
      </c>
      <c r="L2" t="str">
        <f>"₹"&amp;TEXT(G2,"#,##0")</f>
        <v>₹1,999</v>
      </c>
    </row>
    <row r="3" spans="1:12" x14ac:dyDescent="0.3">
      <c r="A3" t="s">
        <v>13</v>
      </c>
      <c r="B3">
        <v>1240</v>
      </c>
      <c r="C3">
        <v>25</v>
      </c>
      <c r="D3">
        <v>150</v>
      </c>
      <c r="E3">
        <f>B3+C3+D3</f>
        <v>1415</v>
      </c>
      <c r="F3">
        <v>3</v>
      </c>
      <c r="G3">
        <f>ROUNDUP((E3*F3)/500,0)*500-1</f>
        <v>4499</v>
      </c>
      <c r="H3">
        <f>G3*2%</f>
        <v>89.98</v>
      </c>
      <c r="I3">
        <f>G3-H3</f>
        <v>4409.0200000000004</v>
      </c>
      <c r="J3">
        <f>I3-E3</f>
        <v>2994.0200000000004</v>
      </c>
      <c r="K3" s="1">
        <f>J3/G3</f>
        <v>0.66548566348077365</v>
      </c>
      <c r="L3" t="str">
        <f>"₹"&amp;TEXT(G3,"#,##0")</f>
        <v>₹4,499</v>
      </c>
    </row>
    <row r="4" spans="1:12" x14ac:dyDescent="0.3">
      <c r="A4" t="s">
        <v>14</v>
      </c>
      <c r="B4">
        <v>1495</v>
      </c>
      <c r="C4">
        <v>25</v>
      </c>
      <c r="D4">
        <v>150</v>
      </c>
      <c r="E4">
        <f>B4+C4+D4</f>
        <v>1670</v>
      </c>
      <c r="F4">
        <v>3</v>
      </c>
      <c r="G4">
        <f>ROUNDUP((E4*F4)/500,0)*500-1</f>
        <v>5499</v>
      </c>
      <c r="H4">
        <f>G4*2%</f>
        <v>109.98</v>
      </c>
      <c r="I4">
        <f>G4-H4</f>
        <v>5389.02</v>
      </c>
      <c r="J4">
        <f>I4-E4</f>
        <v>3719.0200000000004</v>
      </c>
      <c r="K4" s="1">
        <f>J4/G4</f>
        <v>0.67630841971267508</v>
      </c>
      <c r="L4" t="str">
        <f>"₹"&amp;TEXT(G4,"#,##0")</f>
        <v>₹5,499</v>
      </c>
    </row>
    <row r="5" spans="1:12" x14ac:dyDescent="0.3">
      <c r="A5" t="s">
        <v>15</v>
      </c>
      <c r="B5">
        <v>1134</v>
      </c>
      <c r="C5">
        <v>25</v>
      </c>
      <c r="D5">
        <v>150</v>
      </c>
      <c r="E5">
        <f>B5+C5+D5</f>
        <v>1309</v>
      </c>
      <c r="F5">
        <v>3</v>
      </c>
      <c r="G5">
        <f>ROUNDUP((E5*F5)/500,0)*500-1</f>
        <v>3999</v>
      </c>
      <c r="H5">
        <f>G5*2%</f>
        <v>79.98</v>
      </c>
      <c r="I5">
        <f>G5-H5</f>
        <v>3919.02</v>
      </c>
      <c r="J5">
        <f>I5-E5</f>
        <v>2610.02</v>
      </c>
      <c r="K5" s="1">
        <f>J5/G5</f>
        <v>0.65266816704176045</v>
      </c>
      <c r="L5" t="str">
        <f>"₹"&amp;TEXT(G5,"#,##0")</f>
        <v>₹3,999</v>
      </c>
    </row>
    <row r="6" spans="1:12" x14ac:dyDescent="0.3">
      <c r="A6" t="s">
        <v>16</v>
      </c>
      <c r="B6">
        <v>2100</v>
      </c>
      <c r="C6">
        <v>25</v>
      </c>
      <c r="D6">
        <v>150</v>
      </c>
      <c r="E6">
        <f>B6+C6+D6</f>
        <v>2275</v>
      </c>
      <c r="F6">
        <v>1.75</v>
      </c>
      <c r="G6">
        <f>ROUNDUP((E6*F6)/500,0)*500-1</f>
        <v>3999</v>
      </c>
      <c r="H6">
        <f>G6*2%</f>
        <v>79.98</v>
      </c>
      <c r="I6">
        <f>G6-H6</f>
        <v>3919.02</v>
      </c>
      <c r="J6">
        <f>I6-E6</f>
        <v>1644.02</v>
      </c>
      <c r="K6" s="1">
        <f>J6/G6</f>
        <v>0.41110777694423606</v>
      </c>
      <c r="L6" t="str">
        <f>"₹"&amp;TEXT(G6,"#,##0")</f>
        <v>₹3,999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pricing-calculator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2026-05-15T18:39:39Z</dcterms:created>
  <dcterms:modified xsi:type="dcterms:W3CDTF">2026-05-15T19:42:48Z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2026-05-15T18:42:38Z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692a3a70-8589-411c-8149-1a774c8182cc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